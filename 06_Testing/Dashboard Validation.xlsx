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Business Analyst\Portfolio Project\E-Commerce Analytics\06_Testing\"/>
    </mc:Choice>
  </mc:AlternateContent>
  <xr:revisionPtr revIDLastSave="0" documentId="13_ncr:1_{6E634550-3276-4C64-AC99-4CEBD70B1D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idation Summary" sheetId="1" r:id="rId1"/>
    <sheet name="Validation Details" sheetId="2" r:id="rId2"/>
  </sheets>
  <calcPr calcId="191029"/>
</workbook>
</file>

<file path=xl/calcChain.xml><?xml version="1.0" encoding="utf-8"?>
<calcChain xmlns="http://schemas.openxmlformats.org/spreadsheetml/2006/main">
  <c r="F13" i="2" l="1"/>
  <c r="B7" i="1"/>
  <c r="B8" i="1"/>
  <c r="B6" i="1"/>
  <c r="B9" i="1" l="1"/>
</calcChain>
</file>

<file path=xl/sharedStrings.xml><?xml version="1.0" encoding="utf-8"?>
<sst xmlns="http://schemas.openxmlformats.org/spreadsheetml/2006/main" count="75" uniqueCount="65">
  <si>
    <t>Olist E-Commerce Analytics Dashboard</t>
  </si>
  <si>
    <t>Dashboard QA &amp; Data Validation Summary Report</t>
  </si>
  <si>
    <t>Metric</t>
  </si>
  <si>
    <t>Result</t>
  </si>
  <si>
    <t>Total Validation Items</t>
  </si>
  <si>
    <t>Passed</t>
  </si>
  <si>
    <t>Failed</t>
  </si>
  <si>
    <t>Pass Rate</t>
  </si>
  <si>
    <t>Validation ID</t>
  </si>
  <si>
    <t>Component</t>
  </si>
  <si>
    <t>Validation Item</t>
  </si>
  <si>
    <t>Expected Result</t>
  </si>
  <si>
    <t>Actual Result</t>
  </si>
  <si>
    <t>Status</t>
  </si>
  <si>
    <t>DV-001</t>
  </si>
  <si>
    <t>Revenue KPI</t>
  </si>
  <si>
    <t>Verify total revenue calculation.</t>
  </si>
  <si>
    <t>Revenue equals the total payment value from the source dataset.</t>
  </si>
  <si>
    <t>Revenue displayed matches the SQL query result.</t>
  </si>
  <si>
    <t>Pass</t>
  </si>
  <si>
    <t>DV-002</t>
  </si>
  <si>
    <t>Orders KPI</t>
  </si>
  <si>
    <t>Verify total orders.</t>
  </si>
  <si>
    <t>Dashboard displays the total number of orders.</t>
  </si>
  <si>
    <t>Matches SQL result.</t>
  </si>
  <si>
    <t>DV-003</t>
  </si>
  <si>
    <t>Average Order Value</t>
  </si>
  <si>
    <t>Verify AOV calculation.</t>
  </si>
  <si>
    <t>Calculated correctly.</t>
  </si>
  <si>
    <t>DV-004</t>
  </si>
  <si>
    <t>Top Products</t>
  </si>
  <si>
    <t>Verify Top 10 ranking.</t>
  </si>
  <si>
    <t>Products are sorted by total revenue in descending order.</t>
  </si>
  <si>
    <t>Displayed correctly.</t>
  </si>
  <si>
    <t>DV-005</t>
  </si>
  <si>
    <t>Monthly Revenue</t>
  </si>
  <si>
    <t>Verify monthly aggregation.</t>
  </si>
  <si>
    <t>Revenue grouped by purchase month.</t>
  </si>
  <si>
    <t>Matches SQL output.</t>
  </si>
  <si>
    <t>DV-006</t>
  </si>
  <si>
    <t>Sales by Category</t>
  </si>
  <si>
    <t>Verify category aggregation.</t>
  </si>
  <si>
    <t>Revenue aggregated by category.</t>
  </si>
  <si>
    <t>DV-007</t>
  </si>
  <si>
    <t>Dashboard Accuracy</t>
  </si>
  <si>
    <t>Compare dashboard values with SQL queries.</t>
  </si>
  <si>
    <t>Dashboard values match SQL results.</t>
  </si>
  <si>
    <t>All KPI values are consistent.</t>
  </si>
  <si>
    <t>DV-008</t>
  </si>
  <si>
    <t>Visualization</t>
  </si>
  <si>
    <t>Verify chart rendering.</t>
  </si>
  <si>
    <t>Charts display correctly without truncation.</t>
  </si>
  <si>
    <t>All charts render correctly.</t>
  </si>
  <si>
    <t>DV-009</t>
  </si>
  <si>
    <t>Data Completeness</t>
  </si>
  <si>
    <t>Verify all required KPIs are displayed.</t>
  </si>
  <si>
    <t>Revenue, Orders, AOV, Top Products, Monthly Revenue, Sales by Category are present.</t>
  </si>
  <si>
    <t>All required metrics are available.</t>
  </si>
  <si>
    <t>DV-010</t>
  </si>
  <si>
    <t>Business Readiness</t>
  </si>
  <si>
    <t>Verify dashboard supports business reporting.</t>
  </si>
  <si>
    <t>Dashboard provides meaningful insights for stakeholders.</t>
  </si>
  <si>
    <t>Business users can monitor KPIs effectively.</t>
  </si>
  <si>
    <t>Total</t>
  </si>
  <si>
    <t>Revenue /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</si>
</sst>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rgb="FF595959"/>
      <name val="Calibri"/>
      <family val="2"/>
      <scheme val="minor"/>
    </font>
    <font>
      <b/>
      <sz val="18"/>
      <color rgb="FF1F4E7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/>
    </xf>
    <xf numFmtId="0" fontId="0" fillId="0" borderId="0" xfId="0" applyFont="1"/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left" vertical="center" wrapText="1"/>
    </xf>
    <xf numFmtId="3" fontId="8" fillId="3" borderId="2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 wrapText="1"/>
    </xf>
    <xf numFmtId="3" fontId="9" fillId="4" borderId="2" xfId="0" applyNumberFormat="1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 wrapText="1"/>
    </xf>
    <xf numFmtId="3" fontId="9" fillId="3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left" vertical="center" wrapText="1"/>
    </xf>
    <xf numFmtId="164" fontId="8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"/>
  <sheetViews>
    <sheetView tabSelected="1" zoomScale="110" zoomScaleNormal="110" workbookViewId="0">
      <selection activeCell="E10" sqref="E10"/>
    </sheetView>
  </sheetViews>
  <sheetFormatPr defaultRowHeight="15" x14ac:dyDescent="0.25"/>
  <cols>
    <col min="1" max="1" width="28" style="7" customWidth="1"/>
    <col min="2" max="2" width="16" style="7" customWidth="1"/>
    <col min="3" max="16384" width="9.140625" style="7"/>
  </cols>
  <sheetData>
    <row r="2" spans="1:4" ht="23.25" x14ac:dyDescent="0.25">
      <c r="A2" s="16" t="s">
        <v>0</v>
      </c>
      <c r="B2" s="16"/>
      <c r="C2" s="16"/>
      <c r="D2" s="16"/>
    </row>
    <row r="3" spans="1:4" ht="15.75" x14ac:dyDescent="0.25">
      <c r="A3" s="13" t="s">
        <v>1</v>
      </c>
      <c r="B3" s="13"/>
      <c r="C3" s="13"/>
      <c r="D3" s="13"/>
    </row>
    <row r="5" spans="1:4" ht="15.75" x14ac:dyDescent="0.25">
      <c r="A5" s="14" t="s">
        <v>2</v>
      </c>
      <c r="B5" s="15" t="s">
        <v>3</v>
      </c>
    </row>
    <row r="6" spans="1:4" x14ac:dyDescent="0.25">
      <c r="A6" s="17" t="s">
        <v>4</v>
      </c>
      <c r="B6" s="18">
        <f>'Validation Details'!F13</f>
        <v>10</v>
      </c>
    </row>
    <row r="7" spans="1:4" x14ac:dyDescent="0.25">
      <c r="A7" s="19" t="s">
        <v>5</v>
      </c>
      <c r="B7" s="20">
        <f>COUNTIF('Validation Details'!F2:F11, "Pass")</f>
        <v>10</v>
      </c>
    </row>
    <row r="8" spans="1:4" x14ac:dyDescent="0.25">
      <c r="A8" s="21" t="s">
        <v>6</v>
      </c>
      <c r="B8" s="22">
        <f>COUNTIF('Validation Details'!F2:F11, "Fail")</f>
        <v>0</v>
      </c>
    </row>
    <row r="9" spans="1:4" x14ac:dyDescent="0.25">
      <c r="A9" s="23" t="s">
        <v>7</v>
      </c>
      <c r="B9" s="24">
        <f>B7/B6</f>
        <v>1</v>
      </c>
    </row>
  </sheetData>
  <mergeCells count="2">
    <mergeCell ref="A2:D2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113"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16" style="7" customWidth="1"/>
    <col min="2" max="2" width="19.28515625" style="7" customWidth="1"/>
    <col min="3" max="3" width="31.42578125" style="7" bestFit="1" customWidth="1"/>
    <col min="4" max="4" width="41.140625" style="7" customWidth="1"/>
    <col min="5" max="5" width="40.28515625" style="7" customWidth="1"/>
    <col min="6" max="6" width="11.140625" style="3" customWidth="1"/>
    <col min="7" max="16384" width="9.140625" style="7"/>
  </cols>
  <sheetData>
    <row r="1" spans="1:6" s="12" customFormat="1" ht="21.75" customHeight="1" x14ac:dyDescent="0.25">
      <c r="A1" s="10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0" t="s">
        <v>13</v>
      </c>
    </row>
    <row r="2" spans="1:6" ht="25.5" x14ac:dyDescent="0.25">
      <c r="A2" s="4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6" t="s">
        <v>19</v>
      </c>
    </row>
    <row r="3" spans="1:6" x14ac:dyDescent="0.25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6" t="s">
        <v>19</v>
      </c>
    </row>
    <row r="4" spans="1:6" x14ac:dyDescent="0.25">
      <c r="A4" s="4" t="s">
        <v>25</v>
      </c>
      <c r="B4" s="5" t="s">
        <v>26</v>
      </c>
      <c r="C4" s="5" t="s">
        <v>27</v>
      </c>
      <c r="D4" s="5" t="s">
        <v>64</v>
      </c>
      <c r="E4" s="5" t="s">
        <v>28</v>
      </c>
      <c r="F4" s="6" t="s">
        <v>19</v>
      </c>
    </row>
    <row r="5" spans="1:6" ht="25.5" x14ac:dyDescent="0.25">
      <c r="A5" s="8" t="s">
        <v>29</v>
      </c>
      <c r="B5" s="9" t="s">
        <v>30</v>
      </c>
      <c r="C5" s="9" t="s">
        <v>31</v>
      </c>
      <c r="D5" s="9" t="s">
        <v>32</v>
      </c>
      <c r="E5" s="9" t="s">
        <v>33</v>
      </c>
      <c r="F5" s="6" t="s">
        <v>19</v>
      </c>
    </row>
    <row r="6" spans="1:6" x14ac:dyDescent="0.25">
      <c r="A6" s="4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6" t="s">
        <v>19</v>
      </c>
    </row>
    <row r="7" spans="1:6" x14ac:dyDescent="0.25">
      <c r="A7" s="8" t="s">
        <v>39</v>
      </c>
      <c r="B7" s="9" t="s">
        <v>40</v>
      </c>
      <c r="C7" s="9" t="s">
        <v>41</v>
      </c>
      <c r="D7" s="9" t="s">
        <v>42</v>
      </c>
      <c r="E7" s="9" t="s">
        <v>38</v>
      </c>
      <c r="F7" s="6" t="s">
        <v>19</v>
      </c>
    </row>
    <row r="8" spans="1:6" ht="25.5" x14ac:dyDescent="0.25">
      <c r="A8" s="4" t="s">
        <v>43</v>
      </c>
      <c r="B8" s="5" t="s">
        <v>44</v>
      </c>
      <c r="C8" s="5" t="s">
        <v>45</v>
      </c>
      <c r="D8" s="5" t="s">
        <v>46</v>
      </c>
      <c r="E8" s="5" t="s">
        <v>47</v>
      </c>
      <c r="F8" s="6" t="s">
        <v>19</v>
      </c>
    </row>
    <row r="9" spans="1:6" x14ac:dyDescent="0.25">
      <c r="A9" s="8" t="s">
        <v>48</v>
      </c>
      <c r="B9" s="9" t="s">
        <v>49</v>
      </c>
      <c r="C9" s="9" t="s">
        <v>50</v>
      </c>
      <c r="D9" s="9" t="s">
        <v>51</v>
      </c>
      <c r="E9" s="9" t="s">
        <v>52</v>
      </c>
      <c r="F9" s="6" t="s">
        <v>19</v>
      </c>
    </row>
    <row r="10" spans="1:6" ht="25.5" x14ac:dyDescent="0.25">
      <c r="A10" s="4" t="s">
        <v>53</v>
      </c>
      <c r="B10" s="5" t="s">
        <v>54</v>
      </c>
      <c r="C10" s="5" t="s">
        <v>55</v>
      </c>
      <c r="D10" s="5" t="s">
        <v>56</v>
      </c>
      <c r="E10" s="5" t="s">
        <v>57</v>
      </c>
      <c r="F10" s="6" t="s">
        <v>19</v>
      </c>
    </row>
    <row r="11" spans="1:6" ht="25.5" x14ac:dyDescent="0.25">
      <c r="A11" s="8" t="s">
        <v>58</v>
      </c>
      <c r="B11" s="9" t="s">
        <v>59</v>
      </c>
      <c r="C11" s="9" t="s">
        <v>60</v>
      </c>
      <c r="D11" s="9" t="s">
        <v>61</v>
      </c>
      <c r="E11" s="9" t="s">
        <v>62</v>
      </c>
      <c r="F11" s="6" t="s">
        <v>19</v>
      </c>
    </row>
    <row r="13" spans="1:6" x14ac:dyDescent="0.25">
      <c r="E13" s="1" t="s">
        <v>63</v>
      </c>
      <c r="F13" s="2">
        <f>COUNTA(F2:F11)</f>
        <v>10</v>
      </c>
    </row>
  </sheetData>
  <conditionalFormatting sqref="F1:F1048576">
    <cfRule type="containsText" dxfId="0" priority="1" operator="containsText" text="Pass">
      <formula>NOT(ISERROR(SEARCH("Pass",F1)))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 Summary</vt:lpstr>
      <vt:lpstr>Validation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2026-07-29T15:05:42Z</dcterms:created>
  <dcterms:modified xsi:type="dcterms:W3CDTF">2026-07-29T15:30:13Z</dcterms:modified>
</cp:coreProperties>
</file>