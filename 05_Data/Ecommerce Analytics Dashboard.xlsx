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Business Analyst\Portfolio Project\E-Commerce Analytics\"/>
    </mc:Choice>
  </mc:AlternateContent>
  <xr:revisionPtr revIDLastSave="0" documentId="13_ncr:1_{839D2354-A0F2-417F-84FE-F25B2E0B7AF2}" xr6:coauthVersionLast="47" xr6:coauthVersionMax="47" xr10:uidLastSave="{00000000-0000-0000-0000-000000000000}"/>
  <bookViews>
    <workbookView xWindow="5115" yWindow="3045" windowWidth="15375" windowHeight="7875" xr2:uid="{00000000-000D-0000-FFFF-FFFF00000000}"/>
  </bookViews>
  <sheets>
    <sheet name="Dashboard" sheetId="6" r:id="rId1"/>
    <sheet name="Sales" sheetId="2" r:id="rId2"/>
    <sheet name="Monthly Revenue" sheetId="1" r:id="rId3"/>
    <sheet name="Top Products" sheetId="3" r:id="rId4"/>
    <sheet name="Monthly Growth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6" l="1"/>
  <c r="E5" i="6"/>
  <c r="C24" i="1"/>
  <c r="B24" i="1"/>
  <c r="K5" i="6"/>
  <c r="B5" i="6"/>
</calcChain>
</file>

<file path=xl/sharedStrings.xml><?xml version="1.0" encoding="utf-8"?>
<sst xmlns="http://schemas.openxmlformats.org/spreadsheetml/2006/main" count="73" uniqueCount="49">
  <si>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</si>
  <si>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</si>
  <si>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</si>
  <si>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</si>
  <si>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</si>
  <si>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</si>
  <si>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</si>
  <si>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</si>
  <si>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</si>
  <si>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</si>
  <si>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</si>
  <si>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</si>
  <si>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</si>
  <si>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</si>
  <si>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</si>
  <si>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</si>
  <si>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</si>
  <si>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</si>
  <si>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</si>
  <si>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</si>
  <si>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</si>
  <si>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</si>
  <si>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year_month</t>
  </si>
  <si>
    <t>monthly_revenue</t>
  </si>
  <si>
    <t>total_revenue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</si>
  <si>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</si>
  <si>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</si>
  <si>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</si>
  <si>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</si>
  <si>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</si>
  <si>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</si>
  <si>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</si>
  <si>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</si>
  <si>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</si>
  <si>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</si>
  <si>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category_name</t>
  </si>
  <si>
    <t>total_items_sold</t>
  </si>
  <si>
    <t>total_sales</t>
  </si>
  <si>
    <t>avg_order_value</t>
  </si>
  <si>
    <t>month_period</t>
  </si>
  <si>
    <t>current_revenue</t>
  </si>
  <si>
    <t>previous_month_revenue</t>
  </si>
  <si>
    <t>growth_rate_percent</t>
  </si>
  <si>
    <t>OLIST E-COMMERCE PERFORMANCE DASHBOARD</t>
  </si>
  <si>
    <t>TOTAL REVENUE</t>
  </si>
  <si>
    <t>TOTAL ORDERS</t>
  </si>
  <si>
    <t>AVG ORDER VALUE</t>
  </si>
  <si>
    <t>Sum</t>
  </si>
  <si>
    <t>LATEST MONTH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</si>
</sst>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\$#,##0"/>
    <numFmt numFmtId="166" formatCode="\$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20"/>
      <color rgb="FF1B365D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1F4E78"/>
        <bgColor rgb="FF1F4E78"/>
      </patternFill>
    </fill>
    <fill>
      <patternFill patternType="solid">
        <fgColor rgb="FFEBF1F5"/>
        <bgColor rgb="FFEBF1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  <xf numFmtId="164" fontId="2" fillId="0" borderId="0" xfId="1" applyNumberFormat="1" applyFont="1"/>
    <xf numFmtId="164" fontId="0" fillId="0" borderId="0" xfId="1" applyNumberFormat="1" applyFont="1"/>
    <xf numFmtId="10" fontId="2" fillId="0" borderId="0" xfId="2" applyNumberFormat="1" applyFont="1"/>
    <xf numFmtId="10" fontId="0" fillId="0" borderId="0" xfId="2" applyNumberFormat="1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165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10" fontId="5" fillId="4" borderId="1" xfId="2" applyNumberFormat="1" applyFont="1" applyFill="1" applyBorder="1" applyAlignment="1">
      <alignment horizontal="center" vertical="center"/>
    </xf>
    <xf numFmtId="10" fontId="0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b="1">
                <a:solidFill>
                  <a:schemeClr val="tx1"/>
                </a:solidFill>
              </a:rPr>
              <a:t>Monthly Revenue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 monthly_revenue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Revenue'!$A$2:$A$23</c:f>
              <c:strCache>
                <c:ptCount val="22"/>
                <c:pt idx="0">
                  <c:v>2016-10</c:v>
                </c:pt>
                <c:pt idx="1">
                  <c:v>2016-12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'Monthly Revenue'!$B$2:$B$23</c:f>
              <c:numCache>
                <c:formatCode>_(* #,##0.00_);_(* \(#,##0.00\);_(* "-"??_);_(@_)</c:formatCode>
                <c:ptCount val="22"/>
                <c:pt idx="0">
                  <c:v>139700.13</c:v>
                </c:pt>
                <c:pt idx="1">
                  <c:v>58.86</c:v>
                </c:pt>
                <c:pt idx="2">
                  <c:v>382637.01</c:v>
                </c:pt>
                <c:pt idx="3">
                  <c:v>813895.95</c:v>
                </c:pt>
                <c:pt idx="4">
                  <c:v>1243108.17</c:v>
                </c:pt>
                <c:pt idx="5">
                  <c:v>1172856.54</c:v>
                </c:pt>
                <c:pt idx="6">
                  <c:v>1701200.19</c:v>
                </c:pt>
                <c:pt idx="7">
                  <c:v>1470676.8</c:v>
                </c:pt>
                <c:pt idx="8">
                  <c:v>1699211.79</c:v>
                </c:pt>
                <c:pt idx="9">
                  <c:v>1938001.83</c:v>
                </c:pt>
                <c:pt idx="10">
                  <c:v>2103509.9700000002</c:v>
                </c:pt>
                <c:pt idx="11">
                  <c:v>2253420.81</c:v>
                </c:pt>
                <c:pt idx="12">
                  <c:v>3460584.15</c:v>
                </c:pt>
                <c:pt idx="13">
                  <c:v>2529597.5099999998</c:v>
                </c:pt>
                <c:pt idx="14">
                  <c:v>3235820.58</c:v>
                </c:pt>
                <c:pt idx="15">
                  <c:v>2899532.64</c:v>
                </c:pt>
                <c:pt idx="16">
                  <c:v>3362034</c:v>
                </c:pt>
                <c:pt idx="17">
                  <c:v>3398801.85</c:v>
                </c:pt>
                <c:pt idx="18">
                  <c:v>3386510.07</c:v>
                </c:pt>
                <c:pt idx="19">
                  <c:v>3036272.04</c:v>
                </c:pt>
                <c:pt idx="20">
                  <c:v>3083711.58</c:v>
                </c:pt>
                <c:pt idx="21">
                  <c:v>2956242.84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B-4E58-BBA9-27620A1F7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52320384"/>
        <c:axId val="352321824"/>
      </c:lineChart>
      <c:catAx>
        <c:axId val="35232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21824"/>
        <c:crosses val="autoZero"/>
        <c:auto val="1"/>
        <c:lblAlgn val="ctr"/>
        <c:lblOffset val="100"/>
        <c:noMultiLvlLbl val="0"/>
      </c:catAx>
      <c:valAx>
        <c:axId val="352321824"/>
        <c:scaling>
          <c:orientation val="minMax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32038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vi-VN">
                <a:solidFill>
                  <a:schemeClr val="tx1"/>
                </a:solidFill>
              </a:rPr>
              <a:t>Top Categories by Sales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Products'!$C$1</c:f>
              <c:strCache>
                <c:ptCount val="1"/>
                <c:pt idx="0">
                  <c:v> total_sales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'Top Products'!$A$2:$A$11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'Top Products'!$C$2:$C$11</c:f>
              <c:numCache>
                <c:formatCode>_(* #,##0.00_);_(* \(#,##0.00\);_(* "-"??_);_(@_)</c:formatCode>
                <c:ptCount val="10"/>
                <c:pt idx="0">
                  <c:v>3776044.02</c:v>
                </c:pt>
                <c:pt idx="1">
                  <c:v>3615017.04</c:v>
                </c:pt>
                <c:pt idx="2">
                  <c:v>3110966.04</c:v>
                </c:pt>
                <c:pt idx="3">
                  <c:v>2964146.91</c:v>
                </c:pt>
                <c:pt idx="4">
                  <c:v>2735862.96</c:v>
                </c:pt>
                <c:pt idx="5">
                  <c:v>2189287.4700000002</c:v>
                </c:pt>
                <c:pt idx="6">
                  <c:v>1905872.55</c:v>
                </c:pt>
                <c:pt idx="7">
                  <c:v>1896745.98</c:v>
                </c:pt>
                <c:pt idx="8">
                  <c:v>1778160.33</c:v>
                </c:pt>
                <c:pt idx="9">
                  <c:v>1455769.38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4-431F-8B5C-BD4162CD0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72392160"/>
        <c:axId val="572402720"/>
      </c:barChart>
      <c:catAx>
        <c:axId val="57239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402720"/>
        <c:crosses val="autoZero"/>
        <c:auto val="1"/>
        <c:lblAlgn val="ctr"/>
        <c:lblOffset val="100"/>
        <c:noMultiLvlLbl val="0"/>
      </c:catAx>
      <c:valAx>
        <c:axId val="572402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9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500"/>
              <a:t>Sales Shared by Categories</a:t>
            </a:r>
            <a:endParaRPr 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Products'!$C$1</c:f>
              <c:strCache>
                <c:ptCount val="1"/>
                <c:pt idx="0">
                  <c:v> total_sales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D0-487B-9E91-02C9FBB0F8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D0-487B-9E91-02C9FBB0F8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D0-487B-9E91-02C9FBB0F8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AD0-487B-9E91-02C9FBB0F8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D0-487B-9E91-02C9FBB0F83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AD0-487B-9E91-02C9FBB0F83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AD0-487B-9E91-02C9FBB0F83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AD0-487B-9E91-02C9FBB0F83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AD0-487B-9E91-02C9FBB0F83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AD0-487B-9E91-02C9FBB0F83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Products'!$A$2:$A$11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'Top Products'!$C$2:$C$11</c:f>
              <c:numCache>
                <c:formatCode>_(* #,##0.00_);_(* \(#,##0.00\);_(* "-"??_);_(@_)</c:formatCode>
                <c:ptCount val="10"/>
                <c:pt idx="0">
                  <c:v>3776044.02</c:v>
                </c:pt>
                <c:pt idx="1">
                  <c:v>3615017.04</c:v>
                </c:pt>
                <c:pt idx="2">
                  <c:v>3110966.04</c:v>
                </c:pt>
                <c:pt idx="3">
                  <c:v>2964146.91</c:v>
                </c:pt>
                <c:pt idx="4">
                  <c:v>2735862.96</c:v>
                </c:pt>
                <c:pt idx="5">
                  <c:v>2189287.4700000002</c:v>
                </c:pt>
                <c:pt idx="6">
                  <c:v>1905872.55</c:v>
                </c:pt>
                <c:pt idx="7">
                  <c:v>1896745.98</c:v>
                </c:pt>
                <c:pt idx="8">
                  <c:v>1778160.33</c:v>
                </c:pt>
                <c:pt idx="9">
                  <c:v>1455769.38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D0-487B-9E91-02C9FBB0F83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300788</xdr:colOff>
      <xdr:row>7</xdr:row>
      <xdr:rowOff>0</xdr:rowOff>
    </xdr:from>
    <xdr:to>
      <xdr:col>7</xdr:col>
      <xdr:colOff>213059</xdr:colOff>
      <xdr:row>22</xdr:row>
      <xdr:rowOff>146539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7066C-E57A-4622-BD51-FE147DD75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261676</xdr:colOff>
      <xdr:row>7</xdr:row>
      <xdr:rowOff>0</xdr:rowOff>
    </xdr:from>
    <xdr:to>
      <xdr:col>15</xdr:col>
      <xdr:colOff>303544</xdr:colOff>
      <xdr:row>22</xdr:row>
      <xdr:rowOff>144028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D01036-4BE6-4D9A-9F6F-BFA88B1F8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40875</xdr:rowOff>
    </xdr:from>
    <xdr:to>
      <xdr:col>6</xdr:col>
      <xdr:colOff>22500</xdr:colOff>
      <xdr:row>38</xdr:row>
      <xdr:rowOff>6867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4DE236-872D-4D90-BE1E-EF4C0378C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F4B1-E3EA-4E21-AC4F-F64EA4F0BAE0}">
  <dimension ref="A1:N6"/>
  <sheetViews>
    <sheetView tabSelected="1" zoomScale="102" workbookViewId="0">
      <selection activeCell="R5" sqref="R5"/>
    </sheetView>
  </sheetViews>
  <sheetFormatPr defaultRowHeight="15" x14ac:dyDescent="0.25"/>
  <cols>
    <col min="1" max="1" width="4.5703125" customWidth="1"/>
    <col min="2" max="2" width="24.140625" customWidth="1"/>
    <col min="3" max="3" width="11.7109375" customWidth="1"/>
    <col min="4" max="4" width="4.5703125" customWidth="1"/>
    <col min="5" max="5" width="24.140625" customWidth="1"/>
    <col min="6" max="6" width="11.7109375" customWidth="1"/>
    <col min="7" max="7" width="4.5703125" customWidth="1"/>
    <col min="8" max="8" width="24.140625" customWidth="1"/>
    <col min="9" max="9" width="11.7109375" customWidth="1"/>
    <col min="10" max="10" width="4.5703125" customWidth="1"/>
    <col min="11" max="11" width="24.140625" customWidth="1"/>
    <col min="12" max="13" width="11.7109375" customWidth="1"/>
    <col min="14" max="14" width="4.5703125" customWidth="1"/>
  </cols>
  <sheetData>
    <row r="1" spans="1:14" x14ac:dyDescent="0.25">
      <c r="A1" s="8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x14ac:dyDescent="0.25">
      <c r="B4" s="10" t="s">
        <v>44</v>
      </c>
      <c r="C4" s="11"/>
      <c r="D4" s="11"/>
      <c r="E4" s="10" t="s">
        <v>45</v>
      </c>
      <c r="F4" s="11"/>
      <c r="G4" s="11"/>
      <c r="H4" s="10" t="s">
        <v>46</v>
      </c>
      <c r="I4" s="11"/>
      <c r="J4" s="11"/>
      <c r="K4" s="10" t="s">
        <v>48</v>
      </c>
      <c r="L4" s="11"/>
      <c r="M4" s="11"/>
    </row>
    <row r="5" spans="1:14" x14ac:dyDescent="0.25">
      <c r="B5" s="12">
        <f>Sales!A2</f>
        <v>48026616.359999999</v>
      </c>
      <c r="C5" s="11"/>
      <c r="D5" s="11"/>
      <c r="E5" s="13">
        <f>Sales!B2</f>
        <v>337950</v>
      </c>
      <c r="F5" s="11"/>
      <c r="G5" s="11"/>
      <c r="H5" s="14">
        <f>Sales!C2</f>
        <v>172.69</v>
      </c>
      <c r="I5" s="11"/>
      <c r="J5" s="11"/>
      <c r="K5" s="15">
        <f>'Monthly Growth'!D23</f>
        <v>-4.1340000000000002E-2</v>
      </c>
      <c r="L5" s="16"/>
      <c r="M5" s="16"/>
    </row>
    <row r="6" spans="1:14" x14ac:dyDescent="0.25">
      <c r="B6" s="11"/>
      <c r="C6" s="11"/>
      <c r="D6" s="11"/>
      <c r="E6" s="11"/>
      <c r="F6" s="11"/>
      <c r="G6" s="11"/>
      <c r="H6" s="11"/>
      <c r="I6" s="11"/>
      <c r="J6" s="11"/>
      <c r="K6" s="16"/>
      <c r="L6" s="16"/>
      <c r="M6" s="16"/>
    </row>
  </sheetData>
  <mergeCells count="9">
    <mergeCell ref="B5:D6"/>
    <mergeCell ref="E5:G6"/>
    <mergeCell ref="H5:J6"/>
    <mergeCell ref="K5:M6"/>
    <mergeCell ref="A1:N2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AC04-6C1D-4C53-8656-FEBE820C68AA}">
  <dimension ref="A1:C2"/>
  <sheetViews>
    <sheetView workbookViewId="0">
      <selection activeCell="C3" sqref="C3"/>
    </sheetView>
  </sheetViews>
  <sheetFormatPr defaultRowHeight="15" x14ac:dyDescent="0.25"/>
  <cols>
    <col min="1" max="1" width="14.28515625" style="3" bestFit="1" customWidth="1"/>
    <col min="2" max="2" width="16" bestFit="1" customWidth="1"/>
    <col min="3" max="3" width="15.85546875" bestFit="1" customWidth="1"/>
  </cols>
  <sheetData>
    <row r="1" spans="1:3" s="1" customFormat="1" x14ac:dyDescent="0.25">
      <c r="A1" s="2" t="s">
        <v>24</v>
      </c>
      <c r="B1" s="1" t="s">
        <v>36</v>
      </c>
      <c r="C1" s="1" t="s">
        <v>38</v>
      </c>
    </row>
    <row r="2" spans="1:3" x14ac:dyDescent="0.25">
      <c r="A2" s="3">
        <v>48026616.359999999</v>
      </c>
      <c r="B2" s="5">
        <v>337950</v>
      </c>
      <c r="C2">
        <v>172.69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128" workbookViewId="0">
      <selection activeCell="I12" sqref="I12"/>
    </sheetView>
  </sheetViews>
  <sheetFormatPr defaultRowHeight="15" x14ac:dyDescent="0.25"/>
  <cols>
    <col min="1" max="1" width="11.7109375" bestFit="1" customWidth="1"/>
    <col min="2" max="2" width="17" style="3" bestFit="1" customWidth="1"/>
    <col min="3" max="3" width="16" style="5" bestFit="1" customWidth="1"/>
  </cols>
  <sheetData>
    <row r="1" spans="1:3" s="1" customFormat="1" x14ac:dyDescent="0.25">
      <c r="A1" s="1" t="s">
        <v>22</v>
      </c>
      <c r="B1" s="2" t="s">
        <v>23</v>
      </c>
      <c r="C1" s="4" t="s">
        <v>36</v>
      </c>
    </row>
    <row r="2" spans="1:3" x14ac:dyDescent="0.25">
      <c r="A2" t="s">
        <v>0</v>
      </c>
      <c r="B2" s="3">
        <v>139700.13</v>
      </c>
      <c r="C2" s="5">
        <v>2970</v>
      </c>
    </row>
    <row r="3" spans="1:3" x14ac:dyDescent="0.25">
      <c r="A3" t="s">
        <v>1</v>
      </c>
      <c r="B3" s="3">
        <v>58.86</v>
      </c>
      <c r="C3" s="5">
        <v>9</v>
      </c>
    </row>
    <row r="4" spans="1:3" x14ac:dyDescent="0.25">
      <c r="A4" t="s">
        <v>2</v>
      </c>
      <c r="B4" s="3">
        <v>382637.01</v>
      </c>
      <c r="C4" s="5">
        <v>8667</v>
      </c>
    </row>
    <row r="5" spans="1:3" x14ac:dyDescent="0.25">
      <c r="A5" t="s">
        <v>3</v>
      </c>
      <c r="B5" s="3">
        <v>813895.95</v>
      </c>
      <c r="C5" s="5">
        <v>17658</v>
      </c>
    </row>
    <row r="6" spans="1:3" x14ac:dyDescent="0.25">
      <c r="A6" t="s">
        <v>4</v>
      </c>
      <c r="B6" s="3">
        <v>1243108.17</v>
      </c>
      <c r="C6" s="5">
        <v>27702</v>
      </c>
    </row>
    <row r="7" spans="1:3" x14ac:dyDescent="0.25">
      <c r="A7" t="s">
        <v>5</v>
      </c>
      <c r="B7" s="3">
        <v>1172856.54</v>
      </c>
      <c r="C7" s="5">
        <v>24363</v>
      </c>
    </row>
    <row r="8" spans="1:3" x14ac:dyDescent="0.25">
      <c r="A8" t="s">
        <v>6</v>
      </c>
      <c r="B8" s="3">
        <v>1701200.19</v>
      </c>
      <c r="C8" s="5">
        <v>38349</v>
      </c>
    </row>
    <row r="9" spans="1:3" x14ac:dyDescent="0.25">
      <c r="A9" t="s">
        <v>7</v>
      </c>
      <c r="B9" s="3">
        <v>1470676.8</v>
      </c>
      <c r="C9" s="5">
        <v>33183</v>
      </c>
    </row>
    <row r="10" spans="1:3" x14ac:dyDescent="0.25">
      <c r="A10" t="s">
        <v>8</v>
      </c>
      <c r="B10" s="3">
        <v>1699211.79</v>
      </c>
      <c r="C10" s="5">
        <v>42534</v>
      </c>
    </row>
    <row r="11" spans="1:3" x14ac:dyDescent="0.25">
      <c r="A11" t="s">
        <v>9</v>
      </c>
      <c r="B11" s="3">
        <v>1938001.83</v>
      </c>
      <c r="C11" s="5">
        <v>45477</v>
      </c>
    </row>
    <row r="12" spans="1:3" x14ac:dyDescent="0.25">
      <c r="A12" t="s">
        <v>10</v>
      </c>
      <c r="B12" s="3">
        <v>2103509.9700000002</v>
      </c>
      <c r="C12" s="5">
        <v>45027</v>
      </c>
    </row>
    <row r="13" spans="1:3" x14ac:dyDescent="0.25">
      <c r="A13" t="s">
        <v>11</v>
      </c>
      <c r="B13" s="3">
        <v>2253420.81</v>
      </c>
      <c r="C13" s="5">
        <v>49095</v>
      </c>
    </row>
    <row r="14" spans="1:3" x14ac:dyDescent="0.25">
      <c r="A14" t="s">
        <v>12</v>
      </c>
      <c r="B14" s="3">
        <v>3460584.15</v>
      </c>
      <c r="C14" s="5">
        <v>79317</v>
      </c>
    </row>
    <row r="15" spans="1:3" x14ac:dyDescent="0.25">
      <c r="A15" t="s">
        <v>13</v>
      </c>
      <c r="B15" s="3">
        <v>2529597.5099999998</v>
      </c>
      <c r="C15" s="5">
        <v>57960</v>
      </c>
    </row>
    <row r="16" spans="1:3" x14ac:dyDescent="0.25">
      <c r="A16" t="s">
        <v>14</v>
      </c>
      <c r="B16" s="3">
        <v>3235820.58</v>
      </c>
      <c r="C16" s="5">
        <v>75276</v>
      </c>
    </row>
    <row r="17" spans="1:3" x14ac:dyDescent="0.25">
      <c r="A17" t="s">
        <v>15</v>
      </c>
      <c r="B17" s="3">
        <v>2899532.64</v>
      </c>
      <c r="C17" s="5">
        <v>69885</v>
      </c>
    </row>
    <row r="18" spans="1:3" x14ac:dyDescent="0.25">
      <c r="A18" t="s">
        <v>16</v>
      </c>
      <c r="B18" s="3">
        <v>3362034</v>
      </c>
      <c r="C18" s="5">
        <v>75033</v>
      </c>
    </row>
    <row r="19" spans="1:3" x14ac:dyDescent="0.25">
      <c r="A19" t="s">
        <v>17</v>
      </c>
      <c r="B19" s="3">
        <v>3398801.85</v>
      </c>
      <c r="C19" s="5">
        <v>73008</v>
      </c>
    </row>
    <row r="20" spans="1:3" x14ac:dyDescent="0.25">
      <c r="A20" t="s">
        <v>18</v>
      </c>
      <c r="B20" s="3">
        <v>3386510.07</v>
      </c>
      <c r="C20" s="5">
        <v>72936</v>
      </c>
    </row>
    <row r="21" spans="1:3" x14ac:dyDescent="0.25">
      <c r="A21" t="s">
        <v>19</v>
      </c>
      <c r="B21" s="3">
        <v>3036272.04</v>
      </c>
      <c r="C21" s="5">
        <v>65889</v>
      </c>
    </row>
    <row r="22" spans="1:3" x14ac:dyDescent="0.25">
      <c r="A22" t="s">
        <v>20</v>
      </c>
      <c r="B22" s="3">
        <v>3083711.58</v>
      </c>
      <c r="C22" s="5">
        <v>64791</v>
      </c>
    </row>
    <row r="23" spans="1:3" x14ac:dyDescent="0.25">
      <c r="A23" t="s">
        <v>21</v>
      </c>
      <c r="B23" s="3">
        <v>2956242.84</v>
      </c>
      <c r="C23" s="5">
        <v>66186</v>
      </c>
    </row>
    <row r="24" spans="1:3" s="1" customFormat="1" x14ac:dyDescent="0.25">
      <c r="A24" s="1" t="s">
        <v>47</v>
      </c>
      <c r="B24" s="2">
        <f>SUM(B2:B23)</f>
        <v>46267385.310000002</v>
      </c>
      <c r="C24" s="4">
        <f>SUM(C2:C23)</f>
        <v>1035315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6067-1E4C-4FAC-B0AE-065383D40402}">
  <dimension ref="A1:C11"/>
  <sheetViews>
    <sheetView topLeftCell="A3" zoomScale="110" workbookViewId="0">
      <selection activeCell="E10" sqref="E10"/>
    </sheetView>
  </sheetViews>
  <sheetFormatPr defaultRowHeight="15" x14ac:dyDescent="0.25"/>
  <cols>
    <col min="1" max="1" width="21.85546875" bestFit="1" customWidth="1"/>
    <col min="2" max="2" width="16" style="5" bestFit="1" customWidth="1"/>
    <col min="3" max="3" width="13.85546875" style="3" bestFit="1" customWidth="1"/>
  </cols>
  <sheetData>
    <row r="1" spans="1:3" s="1" customFormat="1" x14ac:dyDescent="0.25">
      <c r="A1" s="1" t="s">
        <v>35</v>
      </c>
      <c r="B1" s="4" t="s">
        <v>36</v>
      </c>
      <c r="C1" s="2" t="s">
        <v>37</v>
      </c>
    </row>
    <row r="2" spans="1:3" x14ac:dyDescent="0.25">
      <c r="A2" t="s">
        <v>25</v>
      </c>
      <c r="B2" s="5">
        <v>29010</v>
      </c>
      <c r="C2" s="3">
        <v>3776044.02</v>
      </c>
    </row>
    <row r="3" spans="1:3" x14ac:dyDescent="0.25">
      <c r="A3" t="s">
        <v>26</v>
      </c>
      <c r="B3" s="5">
        <v>17973</v>
      </c>
      <c r="C3" s="3">
        <v>3615017.04</v>
      </c>
    </row>
    <row r="4" spans="1:3" x14ac:dyDescent="0.25">
      <c r="A4" t="s">
        <v>27</v>
      </c>
      <c r="B4" s="5">
        <v>33345</v>
      </c>
      <c r="C4" s="3">
        <v>3110966.04</v>
      </c>
    </row>
    <row r="5" spans="1:3" x14ac:dyDescent="0.25">
      <c r="A5" t="s">
        <v>28</v>
      </c>
      <c r="B5" s="5">
        <v>25923</v>
      </c>
      <c r="C5" s="3">
        <v>2964146.91</v>
      </c>
    </row>
    <row r="6" spans="1:3" x14ac:dyDescent="0.25">
      <c r="A6" t="s">
        <v>29</v>
      </c>
      <c r="B6" s="5">
        <v>23481</v>
      </c>
      <c r="C6" s="3">
        <v>2735862.96</v>
      </c>
    </row>
    <row r="7" spans="1:3" x14ac:dyDescent="0.25">
      <c r="A7" t="s">
        <v>30</v>
      </c>
      <c r="B7" s="5">
        <v>25002</v>
      </c>
      <c r="C7" s="3">
        <v>2189287.4700000002</v>
      </c>
    </row>
    <row r="8" spans="1:3" x14ac:dyDescent="0.25">
      <c r="A8" t="s">
        <v>31</v>
      </c>
      <c r="B8" s="5">
        <v>11388</v>
      </c>
      <c r="C8" s="3">
        <v>1905872.55</v>
      </c>
    </row>
    <row r="9" spans="1:3" x14ac:dyDescent="0.25">
      <c r="A9" t="s">
        <v>32</v>
      </c>
      <c r="B9" s="5">
        <v>20892</v>
      </c>
      <c r="C9" s="3">
        <v>1896745.98</v>
      </c>
    </row>
    <row r="10" spans="1:3" x14ac:dyDescent="0.25">
      <c r="A10" t="s">
        <v>33</v>
      </c>
      <c r="B10" s="5">
        <v>12705</v>
      </c>
      <c r="C10" s="3">
        <v>1778160.33</v>
      </c>
    </row>
    <row r="11" spans="1:3" x14ac:dyDescent="0.25">
      <c r="A11" t="s">
        <v>34</v>
      </c>
      <c r="B11" s="5">
        <v>13041</v>
      </c>
      <c r="C11" s="3">
        <v>1455769.38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0F1A-CB6E-413C-BC14-118536F1F145}">
  <dimension ref="A1:D23"/>
  <sheetViews>
    <sheetView workbookViewId="0">
      <selection activeCell="F11" sqref="F11"/>
    </sheetView>
  </sheetViews>
  <sheetFormatPr defaultRowHeight="15" x14ac:dyDescent="0.25"/>
  <cols>
    <col min="1" max="1" width="13.85546875" bestFit="1" customWidth="1"/>
    <col min="2" max="2" width="16" style="3" bestFit="1" customWidth="1"/>
    <col min="3" max="3" width="24.42578125" style="3" bestFit="1" customWidth="1"/>
    <col min="4" max="4" width="20" style="7" bestFit="1" customWidth="1"/>
  </cols>
  <sheetData>
    <row r="1" spans="1:4" s="1" customFormat="1" x14ac:dyDescent="0.25">
      <c r="A1" s="1" t="s">
        <v>39</v>
      </c>
      <c r="B1" s="2" t="s">
        <v>40</v>
      </c>
      <c r="C1" s="2" t="s">
        <v>41</v>
      </c>
      <c r="D1" s="6" t="s">
        <v>42</v>
      </c>
    </row>
    <row r="2" spans="1:4" x14ac:dyDescent="0.25">
      <c r="A2" t="s">
        <v>0</v>
      </c>
      <c r="B2" s="3">
        <v>139700.13</v>
      </c>
    </row>
    <row r="3" spans="1:4" x14ac:dyDescent="0.25">
      <c r="A3" t="s">
        <v>1</v>
      </c>
      <c r="B3" s="3">
        <v>58.86</v>
      </c>
      <c r="C3" s="3">
        <v>139700.13</v>
      </c>
      <c r="D3" s="7">
        <v>-0.99958000000000002</v>
      </c>
    </row>
    <row r="4" spans="1:4" x14ac:dyDescent="0.25">
      <c r="A4" t="s">
        <v>2</v>
      </c>
      <c r="B4" s="3">
        <v>382637.01</v>
      </c>
      <c r="C4" s="3">
        <v>58.86</v>
      </c>
      <c r="D4" s="7">
        <v>6499.7986700000001</v>
      </c>
    </row>
    <row r="5" spans="1:4" x14ac:dyDescent="0.25">
      <c r="A5" t="s">
        <v>3</v>
      </c>
      <c r="B5" s="3">
        <v>813895.95</v>
      </c>
      <c r="C5" s="3">
        <v>382637.01</v>
      </c>
      <c r="D5" s="7">
        <v>1.12707</v>
      </c>
    </row>
    <row r="6" spans="1:4" x14ac:dyDescent="0.25">
      <c r="A6" t="s">
        <v>4</v>
      </c>
      <c r="B6" s="3">
        <v>1243108.17</v>
      </c>
      <c r="C6" s="3">
        <v>813895.95</v>
      </c>
      <c r="D6" s="7">
        <v>0.52736000000000005</v>
      </c>
    </row>
    <row r="7" spans="1:4" x14ac:dyDescent="0.25">
      <c r="A7" t="s">
        <v>5</v>
      </c>
      <c r="B7" s="3">
        <v>1172856.54</v>
      </c>
      <c r="C7" s="3">
        <v>1243108.17</v>
      </c>
      <c r="D7" s="7">
        <v>-5.6509999999999998E-2</v>
      </c>
    </row>
    <row r="8" spans="1:4" x14ac:dyDescent="0.25">
      <c r="A8" t="s">
        <v>6</v>
      </c>
      <c r="B8" s="3">
        <v>1701200.19</v>
      </c>
      <c r="C8" s="3">
        <v>1172856.54</v>
      </c>
      <c r="D8" s="7">
        <v>0.45047999999999999</v>
      </c>
    </row>
    <row r="9" spans="1:4" x14ac:dyDescent="0.25">
      <c r="A9" t="s">
        <v>7</v>
      </c>
      <c r="B9" s="3">
        <v>1470676.8</v>
      </c>
      <c r="C9" s="3">
        <v>1701200.19</v>
      </c>
      <c r="D9" s="7">
        <v>-0.13550999999999999</v>
      </c>
    </row>
    <row r="10" spans="1:4" x14ac:dyDescent="0.25">
      <c r="A10" t="s">
        <v>8</v>
      </c>
      <c r="B10" s="3">
        <v>1699211.79</v>
      </c>
      <c r="C10" s="3">
        <v>1470676.8</v>
      </c>
      <c r="D10" s="7">
        <v>0.15539</v>
      </c>
    </row>
    <row r="11" spans="1:4" x14ac:dyDescent="0.25">
      <c r="A11" t="s">
        <v>9</v>
      </c>
      <c r="B11" s="3">
        <v>1938001.83</v>
      </c>
      <c r="C11" s="3">
        <v>1699211.79</v>
      </c>
      <c r="D11" s="7">
        <v>0.14052999999999999</v>
      </c>
    </row>
    <row r="12" spans="1:4" x14ac:dyDescent="0.25">
      <c r="A12" t="s">
        <v>10</v>
      </c>
      <c r="B12" s="3">
        <v>2103509.9700000002</v>
      </c>
      <c r="C12" s="3">
        <v>1938001.83</v>
      </c>
      <c r="D12" s="7">
        <v>8.5400000000000004E-2</v>
      </c>
    </row>
    <row r="13" spans="1:4" x14ac:dyDescent="0.25">
      <c r="A13" t="s">
        <v>11</v>
      </c>
      <c r="B13" s="3">
        <v>2253420.81</v>
      </c>
      <c r="C13" s="3">
        <v>2103509.9700000002</v>
      </c>
      <c r="D13" s="7">
        <v>7.127E-2</v>
      </c>
    </row>
    <row r="14" spans="1:4" x14ac:dyDescent="0.25">
      <c r="A14" t="s">
        <v>12</v>
      </c>
      <c r="B14" s="3">
        <v>3460584.15</v>
      </c>
      <c r="C14" s="3">
        <v>2253420.81</v>
      </c>
      <c r="D14" s="7">
        <v>0.53569999999999995</v>
      </c>
    </row>
    <row r="15" spans="1:4" x14ac:dyDescent="0.25">
      <c r="A15" t="s">
        <v>13</v>
      </c>
      <c r="B15" s="3">
        <v>2529597.5099999998</v>
      </c>
      <c r="C15" s="3">
        <v>3460584.15</v>
      </c>
      <c r="D15" s="7">
        <v>-0.26902999999999999</v>
      </c>
    </row>
    <row r="16" spans="1:4" x14ac:dyDescent="0.25">
      <c r="A16" t="s">
        <v>14</v>
      </c>
      <c r="B16" s="3">
        <v>3235820.58</v>
      </c>
      <c r="C16" s="3">
        <v>2529597.5099999998</v>
      </c>
      <c r="D16" s="7">
        <v>0.27917999999999998</v>
      </c>
    </row>
    <row r="17" spans="1:4" x14ac:dyDescent="0.25">
      <c r="A17" t="s">
        <v>15</v>
      </c>
      <c r="B17" s="3">
        <v>2899532.64</v>
      </c>
      <c r="C17" s="3">
        <v>3235820.58</v>
      </c>
      <c r="D17" s="7">
        <v>-0.10392999999999999</v>
      </c>
    </row>
    <row r="18" spans="1:4" x14ac:dyDescent="0.25">
      <c r="A18" t="s">
        <v>16</v>
      </c>
      <c r="B18" s="3">
        <v>3362034</v>
      </c>
      <c r="C18" s="3">
        <v>2899532.64</v>
      </c>
      <c r="D18" s="7">
        <v>0.15951000000000001</v>
      </c>
    </row>
    <row r="19" spans="1:4" x14ac:dyDescent="0.25">
      <c r="A19" t="s">
        <v>17</v>
      </c>
      <c r="B19" s="3">
        <v>3398801.85</v>
      </c>
      <c r="C19" s="3">
        <v>3362034</v>
      </c>
      <c r="D19" s="7">
        <v>1.094E-2</v>
      </c>
    </row>
    <row r="20" spans="1:4" x14ac:dyDescent="0.25">
      <c r="A20" t="s">
        <v>18</v>
      </c>
      <c r="B20" s="3">
        <v>3386510.07</v>
      </c>
      <c r="C20" s="3">
        <v>3398801.85</v>
      </c>
      <c r="D20" s="7">
        <v>-3.62E-3</v>
      </c>
    </row>
    <row r="21" spans="1:4" x14ac:dyDescent="0.25">
      <c r="A21" t="s">
        <v>19</v>
      </c>
      <c r="B21" s="3">
        <v>3036272.04</v>
      </c>
      <c r="C21" s="3">
        <v>3386510.07</v>
      </c>
      <c r="D21" s="7">
        <v>-0.10342</v>
      </c>
    </row>
    <row r="22" spans="1:4" x14ac:dyDescent="0.25">
      <c r="A22" t="s">
        <v>20</v>
      </c>
      <c r="B22" s="3">
        <v>3083711.58</v>
      </c>
      <c r="C22" s="3">
        <v>3036272.04</v>
      </c>
      <c r="D22" s="7">
        <v>1.562E-2</v>
      </c>
    </row>
    <row r="23" spans="1:4" x14ac:dyDescent="0.25">
      <c r="A23" t="s">
        <v>21</v>
      </c>
      <c r="B23" s="3">
        <v>2956242.84</v>
      </c>
      <c r="C23" s="3">
        <v>3083711.58</v>
      </c>
      <c r="D23" s="7">
        <v>-4.1340000000000002E-2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Sales</vt:lpstr>
      <vt:lpstr>Monthly Revenue</vt:lpstr>
      <vt:lpstr>Top Products</vt:lpstr>
      <vt:lpstr>Monthly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2026-07-28T18:17:27Z</dcterms:modified>
</cp:coreProperties>
</file>